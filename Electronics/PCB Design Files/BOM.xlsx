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https://studentsaduac-my.sharepoint.com/personal/yazan_dweiri_adu_ac_ae/Documents/Desktop/Stim/Electronics/PCB/"/>
    </mc:Choice>
  </mc:AlternateContent>
  <xr:revisionPtr revIDLastSave="14" documentId="8_{7914DA8B-341E-408D-8BDE-0D54ADF93503}" xr6:coauthVersionLast="47" xr6:coauthVersionMax="47" xr10:uidLastSave="{8DCA7CAB-2B9A-4300-8DDB-C0B761EF7B37}"/>
  <bookViews>
    <workbookView xWindow="-120" yWindow="-120" windowWidth="29040" windowHeight="15720" activeTab="1" xr2:uid="{B6C73796-E91C-42FB-8F9F-A0221734CFE4}"/>
  </bookViews>
  <sheets>
    <sheet name="华秋商城BOM报价明细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3" l="1"/>
  <c r="N42" i="3"/>
  <c r="N43" i="3"/>
  <c r="N44" i="3"/>
  <c r="N31" i="3"/>
  <c r="N34" i="3"/>
  <c r="N35" i="3"/>
  <c r="N36" i="3"/>
  <c r="N37" i="3"/>
  <c r="N38" i="3"/>
  <c r="N39" i="3"/>
  <c r="N40" i="3"/>
  <c r="N30" i="3"/>
</calcChain>
</file>

<file path=xl/sharedStrings.xml><?xml version="1.0" encoding="utf-8"?>
<sst xmlns="http://schemas.openxmlformats.org/spreadsheetml/2006/main" count="700" uniqueCount="316">
  <si>
    <t>“客户”的BOM需求数据</t>
  </si>
  <si>
    <t>单机用量</t>
  </si>
  <si>
    <t>位号</t>
  </si>
  <si>
    <t>规格参数</t>
  </si>
  <si>
    <t>型号</t>
  </si>
  <si>
    <t>封装</t>
  </si>
  <si>
    <t>备注</t>
  </si>
  <si>
    <t>Model</t>
  </si>
  <si>
    <t>Description</t>
  </si>
  <si>
    <t>Brand</t>
  </si>
  <si>
    <t>Package</t>
  </si>
  <si>
    <t>Quantity for 60pcs</t>
  </si>
  <si>
    <t>Price for 60 pcs</t>
  </si>
  <si>
    <t>Delivery days(working days)</t>
  </si>
  <si>
    <t>2</t>
  </si>
  <si>
    <t>C1_1, C1_2</t>
  </si>
  <si>
    <t>0.068uF</t>
  </si>
  <si>
    <t>C0402K</t>
  </si>
  <si>
    <t>445-7346-1-ND</t>
  </si>
  <si>
    <t>CC0402KRX7R9BB683</t>
  </si>
  <si>
    <t>贴片电容（MLCC） 68nF ±10% 50V X7R 0402</t>
  </si>
  <si>
    <t>Yageo</t>
  </si>
  <si>
    <t>0402</t>
  </si>
  <si>
    <t>60</t>
  </si>
  <si>
    <t>1-3days</t>
  </si>
  <si>
    <t>C2_1,C2_2</t>
  </si>
  <si>
    <t>15pF</t>
  </si>
  <si>
    <t>C0200</t>
  </si>
  <si>
    <t>490-GJM0335C1H150GB01DCT-ND</t>
  </si>
  <si>
    <t>0201CG150J500NT</t>
  </si>
  <si>
    <t>贴片电容（MLCC） 15pF ±5% 50V C0G(NP0) 0201</t>
  </si>
  <si>
    <t>FH</t>
  </si>
  <si>
    <t>0201</t>
  </si>
  <si>
    <t>Package is 0201</t>
  </si>
  <si>
    <t>3</t>
  </si>
  <si>
    <t>C3_1, C3_2, C3_3</t>
  </si>
  <si>
    <t>10nF</t>
  </si>
  <si>
    <t>C0201</t>
  </si>
  <si>
    <t>587-5943-1-ND</t>
  </si>
  <si>
    <t>0201B103K500NT</t>
  </si>
  <si>
    <t>贴片电容（MLCC） 10nF ±10% 50V X7R 0201</t>
  </si>
  <si>
    <t>65</t>
  </si>
  <si>
    <t>6</t>
  </si>
  <si>
    <t>C4_1, C4_2, C4_3, C4_4, C4_5, C4_6</t>
  </si>
  <si>
    <t>100nF</t>
  </si>
  <si>
    <t>490-GRM033Z71C104ME14DCT-ND</t>
  </si>
  <si>
    <t>0201X104K160NT</t>
  </si>
  <si>
    <t>贴片电容（MLCC） 100nF ±10% 16V X5R 0201</t>
  </si>
  <si>
    <t>80</t>
  </si>
  <si>
    <t>C5_1, C5_2, C5_3</t>
  </si>
  <si>
    <t>2.2uF</t>
  </si>
  <si>
    <t>490-13227-1-ND</t>
  </si>
  <si>
    <t>0201X225M6R3NT</t>
  </si>
  <si>
    <t>贴片电容（MLCC） 2.2μF ±20% 6.3V X5R 0201</t>
  </si>
  <si>
    <t>8</t>
  </si>
  <si>
    <t>C6_1, C6_2, C6_3, C6_4, C6_5, C6_6, C6_7, C6_8</t>
  </si>
  <si>
    <t>1uF</t>
  </si>
  <si>
    <t>1276-6798-1-ND</t>
  </si>
  <si>
    <t>0201X105M6R3NT</t>
  </si>
  <si>
    <t>贴片电容（MLCC） 1μF ±20% 6.3V X5R 0201</t>
  </si>
  <si>
    <t>90</t>
  </si>
  <si>
    <t>C7_1, C7_2</t>
  </si>
  <si>
    <t>4.7uF</t>
  </si>
  <si>
    <t>1276-6836-1-ND</t>
  </si>
  <si>
    <t>0402X475M100NT</t>
  </si>
  <si>
    <t>贴片电容（MLCC） 4.7μF ±20% 10V X5R 0402</t>
  </si>
  <si>
    <t>C8_1, C8_2, C8_3</t>
  </si>
  <si>
    <t>0.022uF</t>
  </si>
  <si>
    <t>587-EMK063B7223KP-FCT-ND</t>
  </si>
  <si>
    <t>0201X223K100NT</t>
  </si>
  <si>
    <t>贴片电容（MLCC） 22nF ±10% 10V X5R 0201</t>
  </si>
  <si>
    <t>C9_1, C9_2</t>
  </si>
  <si>
    <t>0.47uF</t>
  </si>
  <si>
    <t>587-3497-1-ND</t>
  </si>
  <si>
    <t>0402X474K500CT</t>
  </si>
  <si>
    <t>贴片电容（MLCC） 470nF ±10% 50V X5R 0402</t>
  </si>
  <si>
    <t>Walsin</t>
  </si>
  <si>
    <t>1</t>
  </si>
  <si>
    <t>C10</t>
  </si>
  <si>
    <t>C0402X5R105K500NT</t>
  </si>
  <si>
    <t>贴片电容（MLCC） 1μF ±10% 50V X5R 0402</t>
  </si>
  <si>
    <t>Sanyear</t>
  </si>
  <si>
    <t>55</t>
  </si>
  <si>
    <t>C11</t>
  </si>
  <si>
    <t>100pF</t>
  </si>
  <si>
    <t>445-12105-1-ND</t>
  </si>
  <si>
    <t>CSA0201C0G101J500ET</t>
  </si>
  <si>
    <t>贴片电容（MLCC） 100pF ±5% 50V C0G 0201</t>
  </si>
  <si>
    <t>HRE</t>
  </si>
  <si>
    <t>C12</t>
  </si>
  <si>
    <t>C0603C103J3GACTU</t>
  </si>
  <si>
    <t>C0603</t>
  </si>
  <si>
    <t>贴片电容（MLCC） 10nF ±5% 25V C0G (NP0) 0603</t>
  </si>
  <si>
    <t>KEMET</t>
  </si>
  <si>
    <t>0603</t>
  </si>
  <si>
    <t>8-15days</t>
  </si>
  <si>
    <t>C13</t>
  </si>
  <si>
    <t>0.047uF</t>
  </si>
  <si>
    <t>445-13679-1-ND</t>
  </si>
  <si>
    <t>0201X473K100NT</t>
  </si>
  <si>
    <t>贴片电容（MLCC） 47nF ±10% 10V X5R 0201</t>
  </si>
  <si>
    <t>C14</t>
  </si>
  <si>
    <t>1800pF</t>
  </si>
  <si>
    <t>399-C0402C182J5RAC7867CT-ND</t>
  </si>
  <si>
    <t>TCC0402X7R182K500AT</t>
  </si>
  <si>
    <t>贴片电容（MLCC） 1.8nF ±10% 50V X7R 0402</t>
  </si>
  <si>
    <t>CCTC</t>
  </si>
  <si>
    <t>C15</t>
  </si>
  <si>
    <t>1nF</t>
  </si>
  <si>
    <t>TCC0201X7R102K500ZT</t>
  </si>
  <si>
    <t>贴片电容（MLCC） 1nF ±10% 50V X7R 0201</t>
  </si>
  <si>
    <t>R1</t>
  </si>
  <si>
    <t>187k</t>
  </si>
  <si>
    <t>R0201</t>
  </si>
  <si>
    <t>13-RE0201BRE07191KPDKR-ND</t>
  </si>
  <si>
    <t>0201WMF1873TCE</t>
  </si>
  <si>
    <t>贴片电阻 187KΩ ±1% 1/20W ±200ppm/℃ 0201</t>
  </si>
  <si>
    <t>UniOhm</t>
  </si>
  <si>
    <t>5</t>
  </si>
  <si>
    <t xml:space="preserve">R2_1, R2_2, R2_3, R2_4, R2_5 </t>
  </si>
  <si>
    <t>100k</t>
  </si>
  <si>
    <t>P15981CT-ND</t>
  </si>
  <si>
    <t>RC-01W1003FT</t>
  </si>
  <si>
    <t>贴片电阻 100KΩ ±1% 1/20W ±200ppm/℃ 0201</t>
  </si>
  <si>
    <t>75</t>
  </si>
  <si>
    <t>R3</t>
  </si>
  <si>
    <t>5.1k</t>
  </si>
  <si>
    <t>P123051CT-ND</t>
  </si>
  <si>
    <t>RC-01W512JT</t>
  </si>
  <si>
    <t>贴片电阻 5.1KΩ ±5% 50mW ±200ppm/℃ 0201</t>
  </si>
  <si>
    <t>R4</t>
  </si>
  <si>
    <t>2.43k</t>
  </si>
  <si>
    <t>P122861CT-ND</t>
  </si>
  <si>
    <t>WR02X2431FAL</t>
  </si>
  <si>
    <t>贴片电阻 2.43KΩ ±1% 1/20W ±200ppm/℃ 0201</t>
  </si>
  <si>
    <t>R5</t>
  </si>
  <si>
    <t>196R</t>
  </si>
  <si>
    <t>P122806CT-ND</t>
  </si>
  <si>
    <t>RC0201FR-07196RL</t>
  </si>
  <si>
    <t>贴片电阻 196Ω ±1% 1/20W ±200ppm/℃ 0201</t>
  </si>
  <si>
    <t>R6_1, R6_2</t>
  </si>
  <si>
    <t>100R</t>
  </si>
  <si>
    <t>311-100MCT-ND</t>
  </si>
  <si>
    <t>RC0201JR-07100RL</t>
  </si>
  <si>
    <t>贴片电阻 100Ω ±5% 1/20W ±200ppm/℃ 0201</t>
  </si>
  <si>
    <t>R7</t>
  </si>
  <si>
    <t>330R</t>
  </si>
  <si>
    <t>RC-01W331JT</t>
  </si>
  <si>
    <t>贴片电阻 330Ω ±5% 50mW ±200ppm/℃ 0201</t>
  </si>
  <si>
    <t>R8</t>
  </si>
  <si>
    <t>2.2k</t>
  </si>
  <si>
    <t>CR0201JH0222G</t>
  </si>
  <si>
    <t>贴片电阻 2.2KΩ ±5% 1/20W ±200ppm/℃ 0201</t>
  </si>
  <si>
    <t>LIZ</t>
  </si>
  <si>
    <t>R9</t>
  </si>
  <si>
    <t>220k</t>
  </si>
  <si>
    <t>0201WMJ0224TEE</t>
  </si>
  <si>
    <t>贴片电阻 220KΩ ±5% 1/20W ±200ppm/℃ 0201</t>
  </si>
  <si>
    <t>Uniohm</t>
  </si>
  <si>
    <t>R10</t>
  </si>
  <si>
    <t>150k</t>
  </si>
  <si>
    <t>P122745CT-ND</t>
  </si>
  <si>
    <t>RC-01W1503FT</t>
  </si>
  <si>
    <t>贴片电阻 150KΩ ±1% 50mW ±200ppm/℃ 0201</t>
  </si>
  <si>
    <t>R11</t>
  </si>
  <si>
    <t>10k</t>
  </si>
  <si>
    <t>P15980CT-ND</t>
  </si>
  <si>
    <t>RC-01W103JT</t>
  </si>
  <si>
    <t>贴片电阻 10KΩ ±5% 50mW ±200ppm/℃ 0201</t>
  </si>
  <si>
    <t>FUSE</t>
  </si>
  <si>
    <t>F0402G0R06FNTR</t>
  </si>
  <si>
    <t>R0402</t>
  </si>
  <si>
    <t>FUSE BOARD MOUNT 62MA 32VDC 0402</t>
  </si>
  <si>
    <t>AVX</t>
  </si>
  <si>
    <t>LED</t>
  </si>
  <si>
    <t>APG0603SEC-TT</t>
  </si>
  <si>
    <t>Orange 605nm LED Indication - Discrete 2.01V 2-SMD, No Lead</t>
  </si>
  <si>
    <t>KINGBRIGHT</t>
  </si>
  <si>
    <t>2-SMD，0201</t>
  </si>
  <si>
    <t>LED_MC_INDICATOR</t>
  </si>
  <si>
    <t>APG0603SEC-E-TT</t>
  </si>
  <si>
    <t>Red 624nm LED Indication - Discrete 1.93V 2-SMD, No Lead</t>
  </si>
  <si>
    <t>U1_1, U1_2</t>
  </si>
  <si>
    <t>ADP150ACBZ-3.3-R7</t>
  </si>
  <si>
    <t>WLCSP-4</t>
  </si>
  <si>
    <t>ADP150ACBZ-3.3-R7CT-ND</t>
  </si>
  <si>
    <t>ADI/AD</t>
  </si>
  <si>
    <t>-</t>
  </si>
  <si>
    <t>11</t>
  </si>
  <si>
    <t>3-5days</t>
  </si>
  <si>
    <t>U2</t>
  </si>
  <si>
    <t>SUB-14402</t>
  </si>
  <si>
    <t>ARTEMIS_FP</t>
  </si>
  <si>
    <t>提供完整型号或参考链接</t>
  </si>
  <si>
    <t>PLease offer completed model or link</t>
  </si>
  <si>
    <t>U3</t>
  </si>
  <si>
    <t>MB85RC64TAPN-G-AMEWE1</t>
  </si>
  <si>
    <t>SON-8</t>
  </si>
  <si>
    <t xml:space="preserve"> SON8_2X3MM_EP 64 (8K x 8)KB 3.4MHz</t>
  </si>
  <si>
    <t>FUJITSU</t>
  </si>
  <si>
    <t>SON8_2X3MM_EP</t>
  </si>
  <si>
    <t>U4</t>
  </si>
  <si>
    <t>ADP7182ACPZN-R7</t>
  </si>
  <si>
    <t>LFCSP-6</t>
  </si>
  <si>
    <t>505-ADP7182ACPZN-R7TR-ND</t>
  </si>
  <si>
    <t>U5</t>
  </si>
  <si>
    <t>ADM8829ARTZ-REELRJ</t>
  </si>
  <si>
    <t>SOT-23-6</t>
  </si>
  <si>
    <t>ADM8829ARTZ-REELCT-ND</t>
  </si>
  <si>
    <t>Out of stock, please offer us the link</t>
  </si>
  <si>
    <t>U6</t>
  </si>
  <si>
    <t>TPS22946YZPR</t>
  </si>
  <si>
    <t>BGA</t>
  </si>
  <si>
    <t>296-25219-1-ND</t>
  </si>
  <si>
    <t>IC PWR SWITCH P-CHAN 1:1 6DSBGA</t>
  </si>
  <si>
    <t>TI</t>
  </si>
  <si>
    <t>XFBGA6</t>
  </si>
  <si>
    <t>U7</t>
  </si>
  <si>
    <t>BQ29733DSET</t>
  </si>
  <si>
    <t>WSON-6(1.5x1.5)</t>
  </si>
  <si>
    <t>BQ29733DSET-ND</t>
  </si>
  <si>
    <t>IC BATT PROT LI-ION 1CELL 6WSON</t>
  </si>
  <si>
    <t>WFDFN6</t>
  </si>
  <si>
    <t>10-15days</t>
  </si>
  <si>
    <t>U8_1, U8_2</t>
  </si>
  <si>
    <t>CSD13201W10</t>
  </si>
  <si>
    <t xml:space="preserve"> DSBGA-4</t>
  </si>
  <si>
    <t>296-41412-1-ND</t>
  </si>
  <si>
    <t>TEXAS INSTRUMENTS</t>
  </si>
  <si>
    <t>12</t>
  </si>
  <si>
    <t>U9</t>
  </si>
  <si>
    <t>RHS2116_QFN</t>
  </si>
  <si>
    <t>QFN44_7_X_7</t>
  </si>
  <si>
    <t>U10</t>
  </si>
  <si>
    <t>BQ51051BYFPT</t>
  </si>
  <si>
    <t>DSBGA-28</t>
  </si>
  <si>
    <t>2156-BQ51051BYFPT-ND</t>
  </si>
  <si>
    <t>IC WIRELESS PWR RCVR 28DSBGA</t>
  </si>
  <si>
    <t>28-XFBGA，DSBGA</t>
  </si>
  <si>
    <t>8-10days</t>
  </si>
  <si>
    <t>Y1</t>
  </si>
  <si>
    <t>ECS-.327-12.5-1210-TR</t>
  </si>
  <si>
    <t>1210</t>
  </si>
  <si>
    <t>XC2282DKR-ND</t>
  </si>
  <si>
    <t>无源晶振</t>
  </si>
  <si>
    <t>ECS</t>
  </si>
  <si>
    <t>SMD1210-2P</t>
  </si>
  <si>
    <t>15-20days</t>
  </si>
  <si>
    <t>in total=</t>
  </si>
  <si>
    <t>Id</t>
  </si>
  <si>
    <t>Designator</t>
  </si>
  <si>
    <t>Footprint</t>
  </si>
  <si>
    <t>Quantity</t>
  </si>
  <si>
    <t>Designation</t>
  </si>
  <si>
    <t>Supplier and ref</t>
  </si>
  <si>
    <t>C0402K_334</t>
  </si>
  <si>
    <t>$0.23</t>
  </si>
  <si>
    <t>C2_1, C2_2</t>
  </si>
  <si>
    <t>C0201_334</t>
  </si>
  <si>
    <t>$0.03</t>
  </si>
  <si>
    <t>$0.18</t>
  </si>
  <si>
    <t>$0.31</t>
  </si>
  <si>
    <t>$0.14</t>
  </si>
  <si>
    <t>$0.70</t>
  </si>
  <si>
    <t>$0.08</t>
  </si>
  <si>
    <t>$0.55</t>
  </si>
  <si>
    <t>$0.54</t>
  </si>
  <si>
    <t>C0603_334</t>
  </si>
  <si>
    <t>$13.72</t>
  </si>
  <si>
    <t>$0.04</t>
  </si>
  <si>
    <t>FUSE0</t>
  </si>
  <si>
    <t>R0402_334</t>
  </si>
  <si>
    <t>62.5mA</t>
  </si>
  <si>
    <t>$48.90</t>
  </si>
  <si>
    <t>LED0, LED_MC_INDICATOR0</t>
  </si>
  <si>
    <t>R0201_334</t>
  </si>
  <si>
    <t>$0.07</t>
  </si>
  <si>
    <t>R2_1, R2_2, R2_3, R2_4, R2_5</t>
  </si>
  <si>
    <t>$0.05</t>
  </si>
  <si>
    <t>$0.02</t>
  </si>
  <si>
    <t>CB_4_3_ADI</t>
  </si>
  <si>
    <t>$8.99</t>
  </si>
  <si>
    <t>ARTEMIS_MODULESMD</t>
  </si>
  <si>
    <t>SON65P200X200X65-7N</t>
  </si>
  <si>
    <t>$12.25</t>
  </si>
  <si>
    <t>RJ_6_ADI-L</t>
  </si>
  <si>
    <t>ADM8829ARTZ-REELRJ_6_ADI-L</t>
  </si>
  <si>
    <t>MC3635_MEM-L</t>
  </si>
  <si>
    <t>MC3635MC3635_MEM-L</t>
  </si>
  <si>
    <t>$8.86</t>
  </si>
  <si>
    <t>DSE6_TEX</t>
  </si>
  <si>
    <t>$8.93</t>
  </si>
  <si>
    <t>YZB4_TEX</t>
  </si>
  <si>
    <t>$2.35</t>
  </si>
  <si>
    <t>YFP28</t>
  </si>
  <si>
    <t>28-XFBGA, DSBGA</t>
  </si>
  <si>
    <t>$35.66</t>
  </si>
  <si>
    <t>XTAL_ECS-.327-12.5-1210-TR</t>
  </si>
  <si>
    <t>$12.26</t>
  </si>
  <si>
    <t>$4.00</t>
  </si>
  <si>
    <t>1568-15484-ND</t>
  </si>
  <si>
    <t>$392.00</t>
  </si>
  <si>
    <t>$10.31</t>
  </si>
  <si>
    <t>WR222230-26M8-G</t>
  </si>
  <si>
    <t>Coil</t>
  </si>
  <si>
    <t>$3.47</t>
  </si>
  <si>
    <t>CG-420A/M3</t>
  </si>
  <si>
    <t>Battery</t>
  </si>
  <si>
    <t>Reed SW</t>
  </si>
  <si>
    <t>$18.4</t>
  </si>
  <si>
    <t>2010-1264-1-ND</t>
  </si>
  <si>
    <t>$1.44</t>
  </si>
  <si>
    <t>CY15B104QN-20LPXC</t>
  </si>
  <si>
    <t>Infineon Technologies</t>
  </si>
  <si>
    <t>8-UQFN</t>
  </si>
  <si>
    <t>$21.59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</si>
</sst>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\(\$#,##0.00\)"/>
    <numFmt numFmtId="165" formatCode="[$$-409]#,##0.00"/>
  </numFmts>
  <fonts count="11">
    <font>
      <sz val="11"/>
      <color indexed="8"/>
      <name val="Calibri"/>
      <family val="2"/>
    </font>
    <font>
      <b/>
      <sz val="11"/>
      <color indexed="11"/>
      <name val="Calibri"/>
      <family val="2"/>
    </font>
    <font>
      <b/>
      <sz val="11"/>
      <color indexed="11"/>
      <name val="Calibri"/>
      <family val="2"/>
    </font>
    <font>
      <b/>
      <sz val="11"/>
      <color indexed="12"/>
      <name val="Calibri"/>
      <family val="2"/>
    </font>
    <font>
      <sz val="10"/>
      <color indexed="12"/>
      <name val="Calibri"/>
      <family val="2"/>
    </font>
    <font>
      <sz val="11"/>
      <color indexed="8"/>
      <name val="Calibri"/>
      <family val="2"/>
    </font>
    <font>
      <sz val="11"/>
      <color rgb="FF000000"/>
      <name val="宋体"/>
      <charset val="134"/>
    </font>
    <font>
      <sz val="11"/>
      <color rgb="FFFF0000"/>
      <name val="Calibri"/>
      <family val="2"/>
    </font>
    <font>
      <sz val="9"/>
      <color rgb="FF222222"/>
      <name val="Arial"/>
      <family val="2"/>
    </font>
    <font>
      <sz val="9"/>
      <color rgb="FF444444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8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22">
    <xf numFmtId="0" fontId="0" fillId="0" borderId="0" xfId="0" applyFill="1" applyProtection="1"/>
    <xf numFmtId="164" fontId="0" fillId="0" borderId="0" xfId="0" applyNumberFormat="1" applyFill="1" applyProtection="1"/>
    <xf numFmtId="1" fontId="0" fillId="0" borderId="0" xfId="0" applyNumberFormat="1" applyFill="1" applyAlignment="1" applyProtection="1">
      <alignment horizontal="left"/>
    </xf>
    <xf numFmtId="1" fontId="6" fillId="0" borderId="0" xfId="0" applyNumberFormat="1" applyFont="1" applyFill="1" applyAlignment="1" applyProtection="1">
      <alignment horizontal="left"/>
    </xf>
    <xf numFmtId="0" fontId="2" fillId="0" borderId="0" xfId="0" applyFont="1" applyFill="1" applyProtection="1"/>
    <xf numFmtId="164" fontId="2" fillId="0" borderId="0" xfId="0" applyNumberFormat="1" applyFont="1" applyFill="1" applyProtection="1"/>
    <xf numFmtId="0" fontId="3" fillId="0" borderId="0" xfId="0" applyFont="1" applyFill="1" applyProtection="1"/>
    <xf numFmtId="0" fontId="4" fillId="2" borderId="0" xfId="0" applyFont="1" applyFill="1" applyAlignment="1" applyProtection="1">
      <alignment horizontal="left"/>
    </xf>
    <xf numFmtId="0" fontId="7" fillId="0" borderId="0" xfId="0" applyFont="1" applyFill="1" applyProtection="1"/>
    <xf numFmtId="164" fontId="7" fillId="0" borderId="0" xfId="0" applyNumberFormat="1" applyFont="1" applyFill="1" applyProtection="1"/>
    <xf numFmtId="0" fontId="5" fillId="0" borderId="0" xfId="0" applyFont="1" applyFill="1" applyProtection="1"/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</xf>
    <xf numFmtId="165" fontId="0" fillId="0" borderId="0" xfId="0" applyNumberFormat="1" applyFill="1" applyProtection="1"/>
    <xf numFmtId="0" fontId="8" fillId="0" borderId="0" xfId="0" applyFont="1" applyFill="1" applyProtection="1"/>
    <xf numFmtId="0" fontId="9" fillId="0" borderId="0" xfId="0" applyFont="1" applyFill="1" applyProtection="1"/>
    <xf numFmtId="0" fontId="10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Protection="1"/>
    <xf numFmtId="0" fontId="0" fillId="0" borderId="1" xfId="0" applyFill="1" applyBorder="1" applyProtection="1"/>
    <xf numFmtId="0" fontId="1" fillId="0" borderId="0" xfId="0" applyFont="1" applyFill="1" applyAlignment="1" applyProtection="1">
      <alignment horizontal="center"/>
    </xf>
    <xf numFmtId="16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B0F0"/>
      <rgbColor rgb="00C0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30D9-253D-4CDD-83EE-C07F86F4E7A8}">
  <dimension ref="B1:R43"/>
  <sheetViews>
    <sheetView showRuler="0" workbookViewId="0">
      <selection activeCell="N43" sqref="A1:N43"/>
    </sheetView>
  </sheetViews>
  <sheetFormatPr defaultColWidth="9.140625" defaultRowHeight="15"/>
  <cols>
    <col min="1" max="1" width="2" bestFit="1" customWidth="1"/>
    <col min="2" max="13" width="15" bestFit="1" customWidth="1"/>
    <col min="14" max="14" width="15" style="1" bestFit="1" customWidth="1"/>
  </cols>
  <sheetData>
    <row r="1" spans="2:18">
      <c r="B1" s="17" t="s">
        <v>0</v>
      </c>
      <c r="C1" s="18"/>
      <c r="D1" s="18"/>
      <c r="E1" s="18"/>
      <c r="F1" s="18"/>
      <c r="G1" s="18"/>
      <c r="H1" s="19"/>
      <c r="I1" s="20"/>
      <c r="J1" s="18"/>
      <c r="K1" s="18"/>
      <c r="L1" s="18"/>
      <c r="M1" s="18"/>
      <c r="N1" s="21"/>
    </row>
    <row r="2" spans="2:18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5" t="s">
        <v>12</v>
      </c>
      <c r="O2" s="4" t="s">
        <v>13</v>
      </c>
      <c r="P2" s="6"/>
      <c r="Q2" s="10"/>
      <c r="R2" s="10"/>
    </row>
    <row r="3" spans="2:18">
      <c r="B3" s="2" t="s">
        <v>14</v>
      </c>
      <c r="C3" s="2" t="s">
        <v>15</v>
      </c>
      <c r="D3" s="2" t="s">
        <v>16</v>
      </c>
      <c r="E3" s="2"/>
      <c r="F3" s="2" t="s">
        <v>17</v>
      </c>
      <c r="G3" s="2" t="s">
        <v>18</v>
      </c>
      <c r="H3" s="2"/>
      <c r="I3" t="s">
        <v>19</v>
      </c>
      <c r="J3" t="s">
        <v>20</v>
      </c>
      <c r="K3" t="s">
        <v>21</v>
      </c>
      <c r="L3" t="s">
        <v>22</v>
      </c>
      <c r="M3" t="s">
        <v>23</v>
      </c>
      <c r="N3" s="1">
        <v>0.23024571428571433</v>
      </c>
      <c r="O3" t="s">
        <v>24</v>
      </c>
      <c r="P3" s="7"/>
    </row>
    <row r="4" spans="2:18">
      <c r="B4" s="2" t="s">
        <v>14</v>
      </c>
      <c r="C4" s="2" t="s">
        <v>25</v>
      </c>
      <c r="D4" s="2" t="s">
        <v>26</v>
      </c>
      <c r="E4" s="2"/>
      <c r="F4" s="2" t="s">
        <v>27</v>
      </c>
      <c r="G4" s="2" t="s">
        <v>28</v>
      </c>
      <c r="H4" s="2"/>
      <c r="I4" t="s">
        <v>29</v>
      </c>
      <c r="J4" t="s">
        <v>30</v>
      </c>
      <c r="K4" t="s">
        <v>31</v>
      </c>
      <c r="L4" t="s">
        <v>32</v>
      </c>
      <c r="M4" t="s">
        <v>23</v>
      </c>
      <c r="N4" s="1">
        <v>2.5834285714285712E-2</v>
      </c>
      <c r="O4" t="s">
        <v>24</v>
      </c>
      <c r="P4" s="7" t="s">
        <v>33</v>
      </c>
    </row>
    <row r="5" spans="2:18">
      <c r="B5" s="2" t="s">
        <v>34</v>
      </c>
      <c r="C5" s="2" t="s">
        <v>35</v>
      </c>
      <c r="D5" s="2" t="s">
        <v>36</v>
      </c>
      <c r="E5" s="2"/>
      <c r="F5" s="2" t="s">
        <v>37</v>
      </c>
      <c r="G5" s="2" t="s">
        <v>38</v>
      </c>
      <c r="H5" s="2"/>
      <c r="I5" t="s">
        <v>39</v>
      </c>
      <c r="J5" t="s">
        <v>40</v>
      </c>
      <c r="K5" t="s">
        <v>31</v>
      </c>
      <c r="L5" t="s">
        <v>32</v>
      </c>
      <c r="M5" t="s">
        <v>41</v>
      </c>
      <c r="N5" s="1">
        <v>3.4728571428571428E-2</v>
      </c>
      <c r="O5" t="s">
        <v>24</v>
      </c>
      <c r="P5" s="7"/>
    </row>
    <row r="6" spans="2:18">
      <c r="B6" s="2" t="s">
        <v>42</v>
      </c>
      <c r="C6" s="2" t="s">
        <v>43</v>
      </c>
      <c r="D6" s="2" t="s">
        <v>44</v>
      </c>
      <c r="E6" s="2"/>
      <c r="F6" s="2" t="s">
        <v>37</v>
      </c>
      <c r="G6" s="2" t="s">
        <v>45</v>
      </c>
      <c r="H6" s="2"/>
      <c r="I6" t="s">
        <v>46</v>
      </c>
      <c r="J6" t="s">
        <v>47</v>
      </c>
      <c r="K6" t="s">
        <v>31</v>
      </c>
      <c r="L6" t="s">
        <v>32</v>
      </c>
      <c r="M6" t="s">
        <v>48</v>
      </c>
      <c r="N6" s="1">
        <v>0.18102857142857143</v>
      </c>
      <c r="O6" t="s">
        <v>24</v>
      </c>
      <c r="P6" s="7"/>
    </row>
    <row r="7" spans="2:18">
      <c r="B7" s="2" t="s">
        <v>34</v>
      </c>
      <c r="C7" s="2" t="s">
        <v>49</v>
      </c>
      <c r="D7" s="2" t="s">
        <v>50</v>
      </c>
      <c r="E7" s="2"/>
      <c r="F7" s="2" t="s">
        <v>37</v>
      </c>
      <c r="G7" s="2" t="s">
        <v>51</v>
      </c>
      <c r="H7" s="2"/>
      <c r="I7" t="s">
        <v>52</v>
      </c>
      <c r="J7" t="s">
        <v>53</v>
      </c>
      <c r="K7" t="s">
        <v>31</v>
      </c>
      <c r="L7" t="s">
        <v>32</v>
      </c>
      <c r="M7" t="s">
        <v>41</v>
      </c>
      <c r="N7" s="1">
        <v>0.3061221428571429</v>
      </c>
      <c r="O7" t="s">
        <v>24</v>
      </c>
      <c r="P7" s="7"/>
    </row>
    <row r="8" spans="2:18">
      <c r="B8" s="2" t="s">
        <v>54</v>
      </c>
      <c r="C8" s="2" t="s">
        <v>55</v>
      </c>
      <c r="D8" s="2" t="s">
        <v>56</v>
      </c>
      <c r="E8" s="2"/>
      <c r="F8" s="2" t="s">
        <v>37</v>
      </c>
      <c r="G8" s="2" t="s">
        <v>57</v>
      </c>
      <c r="H8" s="2"/>
      <c r="I8" t="s">
        <v>58</v>
      </c>
      <c r="J8" t="s">
        <v>59</v>
      </c>
      <c r="K8" t="s">
        <v>31</v>
      </c>
      <c r="L8" t="s">
        <v>32</v>
      </c>
      <c r="M8" t="s">
        <v>60</v>
      </c>
      <c r="N8" s="1">
        <v>0.14128714285714286</v>
      </c>
      <c r="O8" t="s">
        <v>24</v>
      </c>
      <c r="P8" s="7"/>
    </row>
    <row r="9" spans="2:18">
      <c r="B9" s="2" t="s">
        <v>14</v>
      </c>
      <c r="C9" s="2" t="s">
        <v>61</v>
      </c>
      <c r="D9" s="2" t="s">
        <v>62</v>
      </c>
      <c r="E9" s="2"/>
      <c r="F9" s="2" t="s">
        <v>17</v>
      </c>
      <c r="G9" s="2" t="s">
        <v>63</v>
      </c>
      <c r="H9" s="2"/>
      <c r="I9" t="s">
        <v>64</v>
      </c>
      <c r="J9" t="s">
        <v>65</v>
      </c>
      <c r="K9" t="s">
        <v>31</v>
      </c>
      <c r="L9" t="s">
        <v>22</v>
      </c>
      <c r="M9" t="s">
        <v>23</v>
      </c>
      <c r="N9" s="1">
        <v>0.70007142857142868</v>
      </c>
      <c r="O9" t="s">
        <v>24</v>
      </c>
      <c r="P9" s="7"/>
    </row>
    <row r="10" spans="2:18">
      <c r="B10" s="2" t="s">
        <v>34</v>
      </c>
      <c r="C10" s="2" t="s">
        <v>66</v>
      </c>
      <c r="D10" s="2" t="s">
        <v>67</v>
      </c>
      <c r="E10" s="2"/>
      <c r="F10" s="2" t="s">
        <v>37</v>
      </c>
      <c r="G10" s="2" t="s">
        <v>68</v>
      </c>
      <c r="H10" s="2"/>
      <c r="I10" t="s">
        <v>69</v>
      </c>
      <c r="J10" t="s">
        <v>70</v>
      </c>
      <c r="K10" t="s">
        <v>31</v>
      </c>
      <c r="L10" t="s">
        <v>32</v>
      </c>
      <c r="M10" t="s">
        <v>41</v>
      </c>
      <c r="N10" s="1">
        <v>7.5381428571428571E-2</v>
      </c>
      <c r="O10" t="s">
        <v>24</v>
      </c>
      <c r="P10" s="7"/>
    </row>
    <row r="11" spans="2:18">
      <c r="B11" s="2" t="s">
        <v>14</v>
      </c>
      <c r="C11" s="2" t="s">
        <v>71</v>
      </c>
      <c r="D11" s="2" t="s">
        <v>72</v>
      </c>
      <c r="E11" s="2"/>
      <c r="F11" s="2" t="s">
        <v>17</v>
      </c>
      <c r="G11" s="2" t="s">
        <v>73</v>
      </c>
      <c r="H11" s="2"/>
      <c r="I11" t="s">
        <v>74</v>
      </c>
      <c r="J11" t="s">
        <v>75</v>
      </c>
      <c r="K11" t="s">
        <v>76</v>
      </c>
      <c r="L11" t="s">
        <v>22</v>
      </c>
      <c r="M11" t="s">
        <v>23</v>
      </c>
      <c r="N11" s="1">
        <v>0.55383428571428583</v>
      </c>
      <c r="O11" t="s">
        <v>24</v>
      </c>
      <c r="P11" s="7"/>
    </row>
    <row r="12" spans="2:18">
      <c r="B12" s="2" t="s">
        <v>77</v>
      </c>
      <c r="C12" s="2" t="s">
        <v>78</v>
      </c>
      <c r="D12" s="2" t="s">
        <v>56</v>
      </c>
      <c r="E12" s="2"/>
      <c r="F12" s="2" t="s">
        <v>17</v>
      </c>
      <c r="G12" s="2"/>
      <c r="H12" s="2"/>
      <c r="I12" t="s">
        <v>79</v>
      </c>
      <c r="J12" t="s">
        <v>80</v>
      </c>
      <c r="K12" t="s">
        <v>81</v>
      </c>
      <c r="L12" t="s">
        <v>22</v>
      </c>
      <c r="M12" t="s">
        <v>82</v>
      </c>
      <c r="N12" s="1">
        <v>0.54449999999999998</v>
      </c>
      <c r="O12" t="s">
        <v>24</v>
      </c>
      <c r="P12" s="7"/>
    </row>
    <row r="13" spans="2:18">
      <c r="B13" s="2" t="s">
        <v>77</v>
      </c>
      <c r="C13" s="2" t="s">
        <v>83</v>
      </c>
      <c r="D13" s="2" t="s">
        <v>84</v>
      </c>
      <c r="E13" s="2"/>
      <c r="F13" s="2" t="s">
        <v>37</v>
      </c>
      <c r="G13" s="2" t="s">
        <v>85</v>
      </c>
      <c r="H13" s="2"/>
      <c r="I13" t="s">
        <v>86</v>
      </c>
      <c r="J13" t="s">
        <v>87</v>
      </c>
      <c r="K13" t="s">
        <v>88</v>
      </c>
      <c r="L13" t="s">
        <v>32</v>
      </c>
      <c r="M13" t="s">
        <v>82</v>
      </c>
      <c r="N13" s="1">
        <v>2.9558571428571431E-2</v>
      </c>
      <c r="O13" t="s">
        <v>24</v>
      </c>
      <c r="P13" s="7"/>
    </row>
    <row r="14" spans="2:18">
      <c r="B14" s="2" t="s">
        <v>77</v>
      </c>
      <c r="C14" s="2" t="s">
        <v>89</v>
      </c>
      <c r="D14" s="2" t="s">
        <v>36</v>
      </c>
      <c r="E14" s="2" t="s">
        <v>90</v>
      </c>
      <c r="F14" s="2" t="s">
        <v>91</v>
      </c>
      <c r="G14" s="2"/>
      <c r="H14" s="2"/>
      <c r="I14" t="s">
        <v>90</v>
      </c>
      <c r="J14" t="s">
        <v>92</v>
      </c>
      <c r="K14" t="s">
        <v>93</v>
      </c>
      <c r="L14" t="s">
        <v>94</v>
      </c>
      <c r="M14" t="s">
        <v>82</v>
      </c>
      <c r="N14" s="1">
        <v>13.716214285714287</v>
      </c>
      <c r="O14" t="s">
        <v>95</v>
      </c>
      <c r="P14" s="7"/>
    </row>
    <row r="15" spans="2:18">
      <c r="B15" s="2" t="s">
        <v>77</v>
      </c>
      <c r="C15" s="2" t="s">
        <v>96</v>
      </c>
      <c r="D15" s="2" t="s">
        <v>97</v>
      </c>
      <c r="E15" s="2"/>
      <c r="F15" s="2" t="s">
        <v>37</v>
      </c>
      <c r="G15" s="2" t="s">
        <v>98</v>
      </c>
      <c r="H15" s="2"/>
      <c r="I15" t="s">
        <v>99</v>
      </c>
      <c r="J15" t="s">
        <v>100</v>
      </c>
      <c r="K15" t="s">
        <v>31</v>
      </c>
      <c r="L15" t="s">
        <v>32</v>
      </c>
      <c r="M15" t="s">
        <v>82</v>
      </c>
      <c r="N15" s="1">
        <v>8.3144285714285712E-2</v>
      </c>
      <c r="O15" t="s">
        <v>24</v>
      </c>
      <c r="P15" s="7"/>
    </row>
    <row r="16" spans="2:18">
      <c r="B16" s="2" t="s">
        <v>77</v>
      </c>
      <c r="C16" s="2" t="s">
        <v>101</v>
      </c>
      <c r="D16" s="2" t="s">
        <v>102</v>
      </c>
      <c r="E16" s="2"/>
      <c r="F16" s="2" t="s">
        <v>17</v>
      </c>
      <c r="G16" s="2" t="s">
        <v>103</v>
      </c>
      <c r="H16" s="2"/>
      <c r="I16" t="s">
        <v>104</v>
      </c>
      <c r="J16" t="s">
        <v>105</v>
      </c>
      <c r="K16" t="s">
        <v>106</v>
      </c>
      <c r="L16" t="s">
        <v>22</v>
      </c>
      <c r="M16" t="s">
        <v>82</v>
      </c>
      <c r="N16" s="1">
        <v>3.6300000000000006E-2</v>
      </c>
      <c r="O16" t="s">
        <v>24</v>
      </c>
      <c r="P16" s="7"/>
    </row>
    <row r="17" spans="2:16">
      <c r="B17" s="2" t="s">
        <v>77</v>
      </c>
      <c r="C17" s="2" t="s">
        <v>107</v>
      </c>
      <c r="D17" s="2" t="s">
        <v>108</v>
      </c>
      <c r="E17" s="2"/>
      <c r="F17" s="2" t="s">
        <v>37</v>
      </c>
      <c r="G17" s="2"/>
      <c r="H17" s="2"/>
      <c r="I17" t="s">
        <v>109</v>
      </c>
      <c r="J17" t="s">
        <v>110</v>
      </c>
      <c r="K17" t="s">
        <v>106</v>
      </c>
      <c r="L17" t="s">
        <v>32</v>
      </c>
      <c r="M17" t="s">
        <v>82</v>
      </c>
      <c r="N17" s="1">
        <v>3.1027857142857142E-2</v>
      </c>
      <c r="O17" t="s">
        <v>24</v>
      </c>
      <c r="P17" s="7"/>
    </row>
    <row r="18" spans="2:16">
      <c r="B18" s="2" t="s">
        <v>77</v>
      </c>
      <c r="C18" s="2" t="s">
        <v>111</v>
      </c>
      <c r="D18" s="2" t="s">
        <v>112</v>
      </c>
      <c r="E18" s="2"/>
      <c r="F18" s="2" t="s">
        <v>113</v>
      </c>
      <c r="G18" s="2" t="s">
        <v>114</v>
      </c>
      <c r="H18" s="2"/>
      <c r="I18" t="s">
        <v>115</v>
      </c>
      <c r="J18" t="s">
        <v>116</v>
      </c>
      <c r="K18" t="s">
        <v>117</v>
      </c>
      <c r="L18" t="s">
        <v>32</v>
      </c>
      <c r="M18" t="s">
        <v>82</v>
      </c>
      <c r="N18" s="1">
        <v>7.2167857142857145E-2</v>
      </c>
      <c r="O18" t="s">
        <v>24</v>
      </c>
      <c r="P18" s="7"/>
    </row>
    <row r="19" spans="2:16">
      <c r="B19" s="2" t="s">
        <v>118</v>
      </c>
      <c r="C19" s="2" t="s">
        <v>119</v>
      </c>
      <c r="D19" s="2" t="s">
        <v>120</v>
      </c>
      <c r="E19" s="2"/>
      <c r="F19" s="2" t="s">
        <v>113</v>
      </c>
      <c r="G19" s="2" t="s">
        <v>121</v>
      </c>
      <c r="H19" s="2"/>
      <c r="I19" t="s">
        <v>122</v>
      </c>
      <c r="J19" t="s">
        <v>123</v>
      </c>
      <c r="K19" t="s">
        <v>31</v>
      </c>
      <c r="L19" t="s">
        <v>32</v>
      </c>
      <c r="M19" t="s">
        <v>124</v>
      </c>
      <c r="N19" s="1">
        <v>3.9835714285714287E-2</v>
      </c>
      <c r="O19" t="s">
        <v>24</v>
      </c>
      <c r="P19" s="7"/>
    </row>
    <row r="20" spans="2:16">
      <c r="B20" s="2" t="s">
        <v>77</v>
      </c>
      <c r="C20" s="2" t="s">
        <v>125</v>
      </c>
      <c r="D20" s="2" t="s">
        <v>126</v>
      </c>
      <c r="E20" s="2"/>
      <c r="F20" s="2" t="s">
        <v>113</v>
      </c>
      <c r="G20" s="2" t="s">
        <v>127</v>
      </c>
      <c r="H20" s="2"/>
      <c r="I20" t="s">
        <v>128</v>
      </c>
      <c r="J20" t="s">
        <v>129</v>
      </c>
      <c r="K20" t="s">
        <v>31</v>
      </c>
      <c r="L20" t="s">
        <v>32</v>
      </c>
      <c r="M20" t="s">
        <v>82</v>
      </c>
      <c r="N20" s="1">
        <v>2.7224999999999999E-2</v>
      </c>
      <c r="O20" t="s">
        <v>24</v>
      </c>
      <c r="P20" s="7"/>
    </row>
    <row r="21" spans="2:16">
      <c r="B21" s="2" t="s">
        <v>77</v>
      </c>
      <c r="C21" s="2" t="s">
        <v>130</v>
      </c>
      <c r="D21" s="2" t="s">
        <v>131</v>
      </c>
      <c r="E21" s="2"/>
      <c r="F21" s="2" t="s">
        <v>113</v>
      </c>
      <c r="G21" s="2" t="s">
        <v>132</v>
      </c>
      <c r="H21" s="2"/>
      <c r="I21" t="s">
        <v>133</v>
      </c>
      <c r="J21" t="s">
        <v>134</v>
      </c>
      <c r="K21" t="s">
        <v>76</v>
      </c>
      <c r="L21" t="s">
        <v>32</v>
      </c>
      <c r="M21" t="s">
        <v>82</v>
      </c>
      <c r="N21" s="1">
        <v>5.1338571428571435E-2</v>
      </c>
      <c r="O21" t="s">
        <v>24</v>
      </c>
      <c r="P21" s="7"/>
    </row>
    <row r="22" spans="2:16">
      <c r="B22" s="2" t="s">
        <v>77</v>
      </c>
      <c r="C22" s="2" t="s">
        <v>135</v>
      </c>
      <c r="D22" s="2" t="s">
        <v>136</v>
      </c>
      <c r="E22" s="2"/>
      <c r="F22" s="2" t="s">
        <v>113</v>
      </c>
      <c r="G22" s="2" t="s">
        <v>137</v>
      </c>
      <c r="H22" s="2"/>
      <c r="I22" t="s">
        <v>138</v>
      </c>
      <c r="J22" t="s">
        <v>139</v>
      </c>
      <c r="K22" t="s">
        <v>21</v>
      </c>
      <c r="L22" t="s">
        <v>32</v>
      </c>
      <c r="M22" t="s">
        <v>82</v>
      </c>
      <c r="N22" s="1">
        <v>3.336142857142857E-2</v>
      </c>
      <c r="O22" t="s">
        <v>24</v>
      </c>
      <c r="P22" s="7"/>
    </row>
    <row r="23" spans="2:16">
      <c r="B23" s="2" t="s">
        <v>14</v>
      </c>
      <c r="C23" s="2" t="s">
        <v>140</v>
      </c>
      <c r="D23" s="2" t="s">
        <v>141</v>
      </c>
      <c r="E23" s="2"/>
      <c r="F23" s="2" t="s">
        <v>113</v>
      </c>
      <c r="G23" s="2" t="s">
        <v>142</v>
      </c>
      <c r="H23" s="2"/>
      <c r="I23" t="s">
        <v>143</v>
      </c>
      <c r="J23" t="s">
        <v>144</v>
      </c>
      <c r="K23" t="s">
        <v>21</v>
      </c>
      <c r="L23" t="s">
        <v>32</v>
      </c>
      <c r="M23" t="s">
        <v>23</v>
      </c>
      <c r="N23" s="1">
        <v>3.0642857142857145E-2</v>
      </c>
      <c r="O23" t="s">
        <v>24</v>
      </c>
      <c r="P23" s="7"/>
    </row>
    <row r="24" spans="2:16">
      <c r="B24" s="2" t="s">
        <v>77</v>
      </c>
      <c r="C24" s="2" t="s">
        <v>145</v>
      </c>
      <c r="D24" s="2" t="s">
        <v>146</v>
      </c>
      <c r="E24" s="2"/>
      <c r="F24" s="2" t="s">
        <v>113</v>
      </c>
      <c r="G24" s="2"/>
      <c r="H24" s="2"/>
      <c r="I24" t="s">
        <v>147</v>
      </c>
      <c r="J24" t="s">
        <v>148</v>
      </c>
      <c r="K24" t="s">
        <v>31</v>
      </c>
      <c r="L24" t="s">
        <v>32</v>
      </c>
      <c r="M24" t="s">
        <v>82</v>
      </c>
      <c r="N24" s="1">
        <v>2.7397857142857144E-2</v>
      </c>
      <c r="O24" t="s">
        <v>24</v>
      </c>
      <c r="P24" s="7"/>
    </row>
    <row r="25" spans="2:16">
      <c r="B25" s="2" t="s">
        <v>77</v>
      </c>
      <c r="C25" s="2" t="s">
        <v>149</v>
      </c>
      <c r="D25" s="2" t="s">
        <v>150</v>
      </c>
      <c r="E25" s="2"/>
      <c r="F25" s="2" t="s">
        <v>113</v>
      </c>
      <c r="G25" s="2"/>
      <c r="H25" s="2"/>
      <c r="I25" t="s">
        <v>151</v>
      </c>
      <c r="J25" t="s">
        <v>152</v>
      </c>
      <c r="K25" t="s">
        <v>153</v>
      </c>
      <c r="L25" t="s">
        <v>32</v>
      </c>
      <c r="M25" t="s">
        <v>82</v>
      </c>
      <c r="N25" s="1">
        <v>2.6879285714285717E-2</v>
      </c>
      <c r="O25" t="s">
        <v>24</v>
      </c>
      <c r="P25" s="7"/>
    </row>
    <row r="26" spans="2:16">
      <c r="B26" s="2" t="s">
        <v>77</v>
      </c>
      <c r="C26" s="2" t="s">
        <v>154</v>
      </c>
      <c r="D26" s="2" t="s">
        <v>155</v>
      </c>
      <c r="E26" s="2"/>
      <c r="F26" s="2" t="s">
        <v>113</v>
      </c>
      <c r="G26" s="2"/>
      <c r="H26" s="2"/>
      <c r="I26" t="s">
        <v>156</v>
      </c>
      <c r="J26" t="s">
        <v>157</v>
      </c>
      <c r="K26" t="s">
        <v>158</v>
      </c>
      <c r="L26" t="s">
        <v>32</v>
      </c>
      <c r="M26" t="s">
        <v>82</v>
      </c>
      <c r="N26" s="1">
        <v>2.1952857142857145E-2</v>
      </c>
      <c r="O26" t="s">
        <v>24</v>
      </c>
      <c r="P26" s="7"/>
    </row>
    <row r="27" spans="2:16">
      <c r="B27" s="2" t="s">
        <v>77</v>
      </c>
      <c r="C27" s="2" t="s">
        <v>159</v>
      </c>
      <c r="D27" s="2" t="s">
        <v>160</v>
      </c>
      <c r="E27" s="2"/>
      <c r="F27" s="2" t="s">
        <v>113</v>
      </c>
      <c r="G27" s="2" t="s">
        <v>161</v>
      </c>
      <c r="H27" s="2"/>
      <c r="I27" t="s">
        <v>162</v>
      </c>
      <c r="J27" t="s">
        <v>163</v>
      </c>
      <c r="K27" t="s">
        <v>31</v>
      </c>
      <c r="L27" t="s">
        <v>32</v>
      </c>
      <c r="M27" t="s">
        <v>82</v>
      </c>
      <c r="N27" s="1">
        <v>2.9904285714285717E-2</v>
      </c>
      <c r="O27" t="s">
        <v>24</v>
      </c>
      <c r="P27" s="7"/>
    </row>
    <row r="28" spans="2:16">
      <c r="B28" s="2" t="s">
        <v>77</v>
      </c>
      <c r="C28" s="2" t="s">
        <v>164</v>
      </c>
      <c r="D28" s="2" t="s">
        <v>165</v>
      </c>
      <c r="E28" s="2"/>
      <c r="F28" s="2" t="s">
        <v>113</v>
      </c>
      <c r="G28" s="2" t="s">
        <v>166</v>
      </c>
      <c r="H28" s="2"/>
      <c r="I28" t="s">
        <v>167</v>
      </c>
      <c r="J28" t="s">
        <v>168</v>
      </c>
      <c r="K28" t="s">
        <v>31</v>
      </c>
      <c r="L28" t="s">
        <v>32</v>
      </c>
      <c r="M28" t="s">
        <v>82</v>
      </c>
      <c r="N28" s="1">
        <v>2.3854285714285713E-2</v>
      </c>
      <c r="O28" t="s">
        <v>24</v>
      </c>
      <c r="P28" s="7"/>
    </row>
    <row r="29" spans="2:16">
      <c r="B29" s="2" t="s">
        <v>77</v>
      </c>
      <c r="C29" s="2" t="s">
        <v>169</v>
      </c>
      <c r="D29" s="2" t="s">
        <v>170</v>
      </c>
      <c r="E29" s="2" t="s">
        <v>170</v>
      </c>
      <c r="F29" s="2" t="s">
        <v>171</v>
      </c>
      <c r="G29" s="2"/>
      <c r="H29" s="2"/>
      <c r="I29" t="s">
        <v>170</v>
      </c>
      <c r="J29" t="s">
        <v>172</v>
      </c>
      <c r="K29" t="s">
        <v>173</v>
      </c>
      <c r="L29" t="s">
        <v>22</v>
      </c>
      <c r="M29" t="s">
        <v>82</v>
      </c>
      <c r="N29" s="1">
        <v>48.90128571428572</v>
      </c>
      <c r="O29" t="s">
        <v>95</v>
      </c>
      <c r="P29" s="7"/>
    </row>
    <row r="30" spans="2:16">
      <c r="B30" s="2" t="s">
        <v>77</v>
      </c>
      <c r="C30" s="2" t="s">
        <v>174</v>
      </c>
      <c r="D30" s="2" t="s">
        <v>175</v>
      </c>
      <c r="E30" s="2" t="s">
        <v>175</v>
      </c>
      <c r="F30" s="2" t="s">
        <v>113</v>
      </c>
      <c r="G30" s="2"/>
      <c r="H30" s="2"/>
      <c r="I30" t="s">
        <v>175</v>
      </c>
      <c r="J30" t="s">
        <v>176</v>
      </c>
      <c r="K30" t="s">
        <v>177</v>
      </c>
      <c r="L30" t="s">
        <v>178</v>
      </c>
      <c r="M30" t="s">
        <v>82</v>
      </c>
      <c r="N30" s="1">
        <v>25.444571428571425</v>
      </c>
      <c r="O30" t="s">
        <v>95</v>
      </c>
      <c r="P30" s="7"/>
    </row>
    <row r="31" spans="2:16">
      <c r="B31" s="2" t="s">
        <v>77</v>
      </c>
      <c r="C31" s="2" t="s">
        <v>179</v>
      </c>
      <c r="D31" s="2" t="s">
        <v>180</v>
      </c>
      <c r="E31" s="2" t="s">
        <v>180</v>
      </c>
      <c r="F31" s="2" t="s">
        <v>113</v>
      </c>
      <c r="G31" s="2"/>
      <c r="H31" s="2"/>
      <c r="I31" t="s">
        <v>180</v>
      </c>
      <c r="J31" t="s">
        <v>181</v>
      </c>
      <c r="K31" t="s">
        <v>177</v>
      </c>
      <c r="L31" t="s">
        <v>178</v>
      </c>
      <c r="M31" t="s">
        <v>82</v>
      </c>
      <c r="N31" s="1">
        <v>25.444571428571425</v>
      </c>
      <c r="O31" t="s">
        <v>95</v>
      </c>
      <c r="P31" s="7"/>
    </row>
    <row r="32" spans="2:16">
      <c r="B32" s="2" t="s">
        <v>14</v>
      </c>
      <c r="C32" s="2" t="s">
        <v>182</v>
      </c>
      <c r="D32" s="2" t="s">
        <v>183</v>
      </c>
      <c r="E32" s="2" t="s">
        <v>183</v>
      </c>
      <c r="F32" s="2" t="s">
        <v>184</v>
      </c>
      <c r="G32" s="2" t="s">
        <v>185</v>
      </c>
      <c r="H32" s="2"/>
      <c r="I32" t="s">
        <v>183</v>
      </c>
      <c r="K32" t="s">
        <v>186</v>
      </c>
      <c r="L32" t="s">
        <v>187</v>
      </c>
      <c r="M32" t="s">
        <v>188</v>
      </c>
      <c r="N32" s="1">
        <v>8.9885714285714311</v>
      </c>
      <c r="O32" t="s">
        <v>189</v>
      </c>
      <c r="P32" s="7"/>
    </row>
    <row r="33" spans="2:16">
      <c r="B33" s="2" t="s">
        <v>77</v>
      </c>
      <c r="C33" s="2" t="s">
        <v>190</v>
      </c>
      <c r="D33" s="2" t="s">
        <v>191</v>
      </c>
      <c r="E33" s="2"/>
      <c r="F33" s="2" t="s">
        <v>192</v>
      </c>
      <c r="G33" s="3" t="s">
        <v>193</v>
      </c>
      <c r="H33" s="2"/>
      <c r="N33" s="1">
        <v>0</v>
      </c>
      <c r="P33" s="7" t="s">
        <v>194</v>
      </c>
    </row>
    <row r="34" spans="2:16">
      <c r="B34" s="2" t="s">
        <v>77</v>
      </c>
      <c r="C34" s="2" t="s">
        <v>195</v>
      </c>
      <c r="D34" s="2" t="s">
        <v>196</v>
      </c>
      <c r="E34" s="2" t="s">
        <v>196</v>
      </c>
      <c r="F34" s="2" t="s">
        <v>197</v>
      </c>
      <c r="G34" s="2"/>
      <c r="H34" s="2"/>
      <c r="I34" t="s">
        <v>196</v>
      </c>
      <c r="J34" t="s">
        <v>198</v>
      </c>
      <c r="K34" t="s">
        <v>199</v>
      </c>
      <c r="L34" t="s">
        <v>200</v>
      </c>
      <c r="M34" t="s">
        <v>42</v>
      </c>
      <c r="N34" s="1">
        <v>8.6290379999999995</v>
      </c>
      <c r="O34" t="s">
        <v>24</v>
      </c>
      <c r="P34" s="7"/>
    </row>
    <row r="35" spans="2:16">
      <c r="B35" s="2" t="s">
        <v>77</v>
      </c>
      <c r="C35" s="2" t="s">
        <v>201</v>
      </c>
      <c r="D35" s="2" t="s">
        <v>202</v>
      </c>
      <c r="E35" s="2" t="s">
        <v>202</v>
      </c>
      <c r="F35" s="2" t="s">
        <v>203</v>
      </c>
      <c r="G35" s="2" t="s">
        <v>204</v>
      </c>
      <c r="H35" s="2"/>
      <c r="I35" t="s">
        <v>202</v>
      </c>
      <c r="K35" t="s">
        <v>186</v>
      </c>
      <c r="L35" t="s">
        <v>187</v>
      </c>
      <c r="M35" t="s">
        <v>118</v>
      </c>
      <c r="N35" s="1">
        <v>12.252428571428572</v>
      </c>
      <c r="O35" t="s">
        <v>189</v>
      </c>
      <c r="P35" s="7"/>
    </row>
    <row r="36" spans="2:16">
      <c r="B36" s="2" t="s">
        <v>77</v>
      </c>
      <c r="C36" s="2" t="s">
        <v>205</v>
      </c>
      <c r="D36" s="2" t="s">
        <v>206</v>
      </c>
      <c r="E36" s="2" t="s">
        <v>206</v>
      </c>
      <c r="F36" s="2" t="s">
        <v>207</v>
      </c>
      <c r="G36" s="2" t="s">
        <v>208</v>
      </c>
      <c r="H36" s="2"/>
      <c r="N36" s="1">
        <v>0</v>
      </c>
      <c r="P36" s="7" t="s">
        <v>209</v>
      </c>
    </row>
    <row r="37" spans="2:16">
      <c r="B37" s="2" t="s">
        <v>77</v>
      </c>
      <c r="C37" s="2" t="s">
        <v>210</v>
      </c>
      <c r="D37" s="2" t="s">
        <v>211</v>
      </c>
      <c r="E37" s="2" t="s">
        <v>211</v>
      </c>
      <c r="F37" s="2" t="s">
        <v>212</v>
      </c>
      <c r="G37" s="2" t="s">
        <v>213</v>
      </c>
      <c r="H37" s="2"/>
      <c r="I37" t="s">
        <v>211</v>
      </c>
      <c r="J37" t="s">
        <v>214</v>
      </c>
      <c r="K37" t="s">
        <v>215</v>
      </c>
      <c r="L37" t="s">
        <v>216</v>
      </c>
      <c r="M37" t="s">
        <v>118</v>
      </c>
      <c r="N37" s="1">
        <v>8.8640357142857145</v>
      </c>
      <c r="O37" t="s">
        <v>24</v>
      </c>
      <c r="P37" s="7"/>
    </row>
    <row r="38" spans="2:16">
      <c r="B38" s="2" t="s">
        <v>77</v>
      </c>
      <c r="C38" s="2" t="s">
        <v>217</v>
      </c>
      <c r="D38" s="2" t="s">
        <v>218</v>
      </c>
      <c r="E38" s="2" t="s">
        <v>218</v>
      </c>
      <c r="F38" s="2" t="s">
        <v>219</v>
      </c>
      <c r="G38" s="2" t="s">
        <v>220</v>
      </c>
      <c r="H38" s="2"/>
      <c r="I38" t="s">
        <v>218</v>
      </c>
      <c r="J38" t="s">
        <v>221</v>
      </c>
      <c r="K38" t="s">
        <v>215</v>
      </c>
      <c r="L38" t="s">
        <v>222</v>
      </c>
      <c r="M38" t="s">
        <v>118</v>
      </c>
      <c r="N38" s="1">
        <v>8.9340585714285705</v>
      </c>
      <c r="O38" t="s">
        <v>223</v>
      </c>
      <c r="P38" s="7"/>
    </row>
    <row r="39" spans="2:16">
      <c r="B39" s="2" t="s">
        <v>14</v>
      </c>
      <c r="C39" s="2" t="s">
        <v>224</v>
      </c>
      <c r="D39" s="2" t="s">
        <v>225</v>
      </c>
      <c r="E39" s="2" t="s">
        <v>225</v>
      </c>
      <c r="F39" s="2" t="s">
        <v>226</v>
      </c>
      <c r="G39" s="2" t="s">
        <v>227</v>
      </c>
      <c r="H39" s="2"/>
      <c r="I39" t="s">
        <v>225</v>
      </c>
      <c r="K39" t="s">
        <v>228</v>
      </c>
      <c r="L39" t="s">
        <v>187</v>
      </c>
      <c r="M39" t="s">
        <v>229</v>
      </c>
      <c r="N39" s="1">
        <v>2.3544274285714288</v>
      </c>
      <c r="O39" t="s">
        <v>189</v>
      </c>
      <c r="P39" s="7"/>
    </row>
    <row r="40" spans="2:16">
      <c r="B40" s="2" t="s">
        <v>77</v>
      </c>
      <c r="C40" s="2" t="s">
        <v>230</v>
      </c>
      <c r="D40" s="2" t="s">
        <v>231</v>
      </c>
      <c r="E40" s="2" t="s">
        <v>231</v>
      </c>
      <c r="F40" s="2" t="s">
        <v>232</v>
      </c>
      <c r="G40" s="2"/>
      <c r="H40" s="2"/>
      <c r="N40" s="1">
        <v>0</v>
      </c>
      <c r="P40" s="7" t="s">
        <v>209</v>
      </c>
    </row>
    <row r="41" spans="2:16">
      <c r="B41" s="2" t="s">
        <v>77</v>
      </c>
      <c r="C41" s="2" t="s">
        <v>233</v>
      </c>
      <c r="D41" s="2" t="s">
        <v>234</v>
      </c>
      <c r="E41" s="2" t="s">
        <v>234</v>
      </c>
      <c r="F41" s="2" t="s">
        <v>235</v>
      </c>
      <c r="G41" s="2" t="s">
        <v>236</v>
      </c>
      <c r="H41" s="2"/>
      <c r="I41" t="s">
        <v>234</v>
      </c>
      <c r="J41" t="s">
        <v>237</v>
      </c>
      <c r="K41" t="s">
        <v>215</v>
      </c>
      <c r="L41" t="s">
        <v>238</v>
      </c>
      <c r="M41" t="s">
        <v>118</v>
      </c>
      <c r="N41" s="1">
        <v>35.664773571428576</v>
      </c>
      <c r="O41" t="s">
        <v>239</v>
      </c>
      <c r="P41" s="7"/>
    </row>
    <row r="42" spans="2:16">
      <c r="B42" s="2" t="s">
        <v>77</v>
      </c>
      <c r="C42" s="2" t="s">
        <v>240</v>
      </c>
      <c r="D42" s="2" t="s">
        <v>241</v>
      </c>
      <c r="E42" s="2" t="s">
        <v>241</v>
      </c>
      <c r="F42" s="2" t="s">
        <v>242</v>
      </c>
      <c r="G42" s="2" t="s">
        <v>243</v>
      </c>
      <c r="H42" s="2"/>
      <c r="I42" t="s">
        <v>241</v>
      </c>
      <c r="J42" t="s">
        <v>244</v>
      </c>
      <c r="K42" t="s">
        <v>245</v>
      </c>
      <c r="L42" t="s">
        <v>246</v>
      </c>
      <c r="M42" t="s">
        <v>42</v>
      </c>
      <c r="N42" s="1">
        <v>12.264676285714286</v>
      </c>
      <c r="O42" t="s">
        <v>247</v>
      </c>
      <c r="P42" s="7"/>
    </row>
    <row r="43" spans="2:16">
      <c r="M43" s="8" t="s">
        <v>248</v>
      </c>
      <c r="N43" s="9">
        <v>214.81627671428572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B1:H1"/>
    <mergeCell ref="I1:N1"/>
  </mergeCells>
  <pageMargins left="0.7" right="0.7" top="0.75" bottom="0.75" header="0.3" footer="0.3"/>
  <pageSetup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A298-417E-41C1-92FB-839E37127316}">
  <dimension ref="A1:N45"/>
  <sheetViews>
    <sheetView tabSelected="1" topLeftCell="A15" zoomScale="115" zoomScaleNormal="115" workbookViewId="0">
      <selection activeCell="K32" sqref="K32"/>
    </sheetView>
  </sheetViews>
  <sheetFormatPr defaultRowHeight="15"/>
  <cols>
    <col min="3" max="3" width="26.5703125" bestFit="1" customWidth="1"/>
    <col min="5" max="5" width="28.5703125" style="11" bestFit="1" customWidth="1"/>
    <col min="6" max="6" width="27.42578125" bestFit="1" customWidth="1"/>
    <col min="7" max="7" width="26.5703125" bestFit="1" customWidth="1"/>
    <col min="10" max="10" width="11.140625" customWidth="1"/>
  </cols>
  <sheetData>
    <row r="1" spans="1:12">
      <c r="A1" t="s">
        <v>249</v>
      </c>
      <c r="B1" t="s">
        <v>250</v>
      </c>
      <c r="C1" t="s">
        <v>251</v>
      </c>
      <c r="D1" t="s">
        <v>252</v>
      </c>
      <c r="E1" s="11" t="s">
        <v>253</v>
      </c>
      <c r="F1" t="s">
        <v>254</v>
      </c>
      <c r="G1" t="s">
        <v>7</v>
      </c>
      <c r="H1" t="s">
        <v>9</v>
      </c>
      <c r="I1" t="s">
        <v>10</v>
      </c>
      <c r="J1" t="s">
        <v>11</v>
      </c>
      <c r="K1" t="s">
        <v>12</v>
      </c>
    </row>
    <row r="2" spans="1:12">
      <c r="A2">
        <v>2</v>
      </c>
      <c r="B2" t="s">
        <v>15</v>
      </c>
      <c r="C2" t="s">
        <v>255</v>
      </c>
      <c r="D2">
        <v>2</v>
      </c>
      <c r="E2" s="12" t="s">
        <v>16</v>
      </c>
      <c r="G2" t="s">
        <v>19</v>
      </c>
      <c r="H2" t="s">
        <v>21</v>
      </c>
      <c r="I2">
        <v>402</v>
      </c>
      <c r="J2">
        <v>60</v>
      </c>
      <c r="K2" s="13" t="s">
        <v>256</v>
      </c>
    </row>
    <row r="3" spans="1:12">
      <c r="A3">
        <v>3</v>
      </c>
      <c r="B3" t="s">
        <v>257</v>
      </c>
      <c r="C3" t="s">
        <v>258</v>
      </c>
      <c r="D3">
        <v>2</v>
      </c>
      <c r="E3" s="12" t="s">
        <v>26</v>
      </c>
      <c r="G3" t="s">
        <v>29</v>
      </c>
      <c r="H3" t="s">
        <v>31</v>
      </c>
      <c r="I3">
        <v>201</v>
      </c>
      <c r="J3">
        <v>60</v>
      </c>
      <c r="K3" s="13" t="s">
        <v>259</v>
      </c>
    </row>
    <row r="4" spans="1:12">
      <c r="A4">
        <v>4</v>
      </c>
      <c r="B4" t="s">
        <v>35</v>
      </c>
      <c r="C4" t="s">
        <v>258</v>
      </c>
      <c r="D4">
        <v>3</v>
      </c>
      <c r="E4" s="12" t="s">
        <v>36</v>
      </c>
      <c r="G4" t="s">
        <v>39</v>
      </c>
      <c r="H4" t="s">
        <v>31</v>
      </c>
      <c r="I4">
        <v>201</v>
      </c>
      <c r="J4">
        <v>65</v>
      </c>
      <c r="K4" s="13" t="s">
        <v>259</v>
      </c>
    </row>
    <row r="5" spans="1:12">
      <c r="A5">
        <v>5</v>
      </c>
      <c r="B5" t="s">
        <v>43</v>
      </c>
      <c r="C5" t="s">
        <v>258</v>
      </c>
      <c r="D5">
        <v>6</v>
      </c>
      <c r="E5" s="12" t="s">
        <v>44</v>
      </c>
      <c r="G5" t="s">
        <v>46</v>
      </c>
      <c r="H5" t="s">
        <v>31</v>
      </c>
      <c r="I5">
        <v>201</v>
      </c>
      <c r="J5">
        <v>80</v>
      </c>
      <c r="K5" s="13" t="s">
        <v>260</v>
      </c>
    </row>
    <row r="6" spans="1:12">
      <c r="A6">
        <v>6</v>
      </c>
      <c r="B6" t="s">
        <v>49</v>
      </c>
      <c r="C6" t="s">
        <v>258</v>
      </c>
      <c r="D6">
        <v>3</v>
      </c>
      <c r="E6" s="12" t="s">
        <v>50</v>
      </c>
      <c r="G6" t="s">
        <v>52</v>
      </c>
      <c r="H6" t="s">
        <v>31</v>
      </c>
      <c r="I6">
        <v>201</v>
      </c>
      <c r="J6">
        <v>65</v>
      </c>
      <c r="K6" s="13" t="s">
        <v>261</v>
      </c>
    </row>
    <row r="7" spans="1:12">
      <c r="A7">
        <v>7</v>
      </c>
      <c r="B7" t="s">
        <v>55</v>
      </c>
      <c r="C7" t="s">
        <v>258</v>
      </c>
      <c r="D7">
        <v>8</v>
      </c>
      <c r="E7" s="12" t="s">
        <v>56</v>
      </c>
      <c r="G7" t="s">
        <v>58</v>
      </c>
      <c r="H7" t="s">
        <v>31</v>
      </c>
      <c r="I7">
        <v>201</v>
      </c>
      <c r="J7">
        <v>90</v>
      </c>
      <c r="K7" s="13" t="s">
        <v>262</v>
      </c>
    </row>
    <row r="8" spans="1:12">
      <c r="A8">
        <v>8</v>
      </c>
      <c r="B8" t="s">
        <v>61</v>
      </c>
      <c r="C8" t="s">
        <v>255</v>
      </c>
      <c r="D8">
        <v>2</v>
      </c>
      <c r="E8" s="12" t="s">
        <v>62</v>
      </c>
      <c r="G8" t="s">
        <v>64</v>
      </c>
      <c r="H8" t="s">
        <v>31</v>
      </c>
      <c r="I8">
        <v>402</v>
      </c>
      <c r="J8">
        <v>60</v>
      </c>
      <c r="K8" s="13" t="s">
        <v>263</v>
      </c>
    </row>
    <row r="9" spans="1:12">
      <c r="A9">
        <v>9</v>
      </c>
      <c r="B9" t="s">
        <v>66</v>
      </c>
      <c r="C9" t="s">
        <v>258</v>
      </c>
      <c r="D9">
        <v>3</v>
      </c>
      <c r="E9" s="12" t="s">
        <v>67</v>
      </c>
      <c r="G9" t="s">
        <v>69</v>
      </c>
      <c r="H9" t="s">
        <v>31</v>
      </c>
      <c r="I9">
        <v>201</v>
      </c>
      <c r="J9">
        <v>65</v>
      </c>
      <c r="K9" s="13" t="s">
        <v>264</v>
      </c>
    </row>
    <row r="10" spans="1:12">
      <c r="A10">
        <v>10</v>
      </c>
      <c r="B10" t="s">
        <v>71</v>
      </c>
      <c r="C10" t="s">
        <v>255</v>
      </c>
      <c r="D10">
        <v>2</v>
      </c>
      <c r="E10" s="12" t="s">
        <v>72</v>
      </c>
      <c r="G10" t="s">
        <v>74</v>
      </c>
      <c r="H10" t="s">
        <v>76</v>
      </c>
      <c r="I10">
        <v>402</v>
      </c>
      <c r="J10">
        <v>60</v>
      </c>
      <c r="K10" s="13" t="s">
        <v>265</v>
      </c>
    </row>
    <row r="11" spans="1:12">
      <c r="A11">
        <v>11</v>
      </c>
      <c r="B11" t="s">
        <v>78</v>
      </c>
      <c r="C11" t="s">
        <v>255</v>
      </c>
      <c r="D11">
        <v>1</v>
      </c>
      <c r="E11" s="12" t="s">
        <v>56</v>
      </c>
      <c r="G11" t="s">
        <v>79</v>
      </c>
      <c r="H11" t="s">
        <v>81</v>
      </c>
      <c r="I11">
        <v>402</v>
      </c>
      <c r="J11">
        <v>55</v>
      </c>
      <c r="K11" s="13" t="s">
        <v>266</v>
      </c>
    </row>
    <row r="12" spans="1:12">
      <c r="A12">
        <v>12</v>
      </c>
      <c r="B12" t="s">
        <v>83</v>
      </c>
      <c r="C12" t="s">
        <v>258</v>
      </c>
      <c r="D12">
        <v>1</v>
      </c>
      <c r="E12" s="12" t="s">
        <v>84</v>
      </c>
      <c r="G12" t="s">
        <v>86</v>
      </c>
      <c r="H12" t="s">
        <v>88</v>
      </c>
      <c r="I12">
        <v>201</v>
      </c>
      <c r="J12">
        <v>55</v>
      </c>
      <c r="K12" s="13" t="s">
        <v>259</v>
      </c>
    </row>
    <row r="13" spans="1:12">
      <c r="A13">
        <v>13</v>
      </c>
      <c r="B13" t="s">
        <v>89</v>
      </c>
      <c r="C13" t="s">
        <v>267</v>
      </c>
      <c r="D13">
        <v>1</v>
      </c>
      <c r="E13" s="12" t="s">
        <v>36</v>
      </c>
      <c r="G13" t="s">
        <v>90</v>
      </c>
      <c r="H13" t="s">
        <v>93</v>
      </c>
      <c r="I13">
        <v>603</v>
      </c>
      <c r="J13">
        <v>55</v>
      </c>
      <c r="K13" s="13" t="s">
        <v>268</v>
      </c>
      <c r="L13">
        <v>1</v>
      </c>
    </row>
    <row r="14" spans="1:12">
      <c r="A14">
        <v>14</v>
      </c>
      <c r="B14" t="s">
        <v>96</v>
      </c>
      <c r="C14" t="s">
        <v>258</v>
      </c>
      <c r="D14">
        <v>1</v>
      </c>
      <c r="E14" s="12" t="s">
        <v>97</v>
      </c>
      <c r="G14" t="s">
        <v>99</v>
      </c>
      <c r="H14" t="s">
        <v>31</v>
      </c>
      <c r="I14">
        <v>201</v>
      </c>
      <c r="J14">
        <v>55</v>
      </c>
      <c r="K14" s="13" t="s">
        <v>264</v>
      </c>
    </row>
    <row r="15" spans="1:12">
      <c r="A15">
        <v>15</v>
      </c>
      <c r="B15" t="s">
        <v>101</v>
      </c>
      <c r="C15" t="s">
        <v>255</v>
      </c>
      <c r="D15">
        <v>1</v>
      </c>
      <c r="E15" s="12" t="s">
        <v>102</v>
      </c>
      <c r="G15" t="s">
        <v>104</v>
      </c>
      <c r="H15" t="s">
        <v>106</v>
      </c>
      <c r="I15">
        <v>402</v>
      </c>
      <c r="J15">
        <v>55</v>
      </c>
      <c r="K15" s="13" t="s">
        <v>269</v>
      </c>
    </row>
    <row r="16" spans="1:12">
      <c r="A16">
        <v>16</v>
      </c>
      <c r="B16" t="s">
        <v>107</v>
      </c>
      <c r="C16" t="s">
        <v>258</v>
      </c>
      <c r="D16">
        <v>1</v>
      </c>
      <c r="E16" s="12" t="s">
        <v>108</v>
      </c>
      <c r="G16" t="s">
        <v>109</v>
      </c>
      <c r="H16" t="s">
        <v>106</v>
      </c>
      <c r="I16">
        <v>201</v>
      </c>
      <c r="J16">
        <v>55</v>
      </c>
      <c r="K16" s="13" t="s">
        <v>259</v>
      </c>
    </row>
    <row r="17" spans="1:14">
      <c r="A17">
        <v>17</v>
      </c>
      <c r="B17" t="s">
        <v>270</v>
      </c>
      <c r="C17" t="s">
        <v>271</v>
      </c>
      <c r="D17">
        <v>1</v>
      </c>
      <c r="E17" s="12" t="s">
        <v>272</v>
      </c>
      <c r="G17" t="s">
        <v>170</v>
      </c>
      <c r="H17" t="s">
        <v>173</v>
      </c>
      <c r="I17">
        <v>402</v>
      </c>
      <c r="J17">
        <v>55</v>
      </c>
      <c r="K17" s="13" t="s">
        <v>273</v>
      </c>
      <c r="L17">
        <v>1</v>
      </c>
    </row>
    <row r="18" spans="1:14">
      <c r="A18">
        <v>18</v>
      </c>
      <c r="B18" t="s">
        <v>274</v>
      </c>
      <c r="C18" t="s">
        <v>275</v>
      </c>
      <c r="D18">
        <v>2</v>
      </c>
      <c r="E18" s="12" t="s">
        <v>174</v>
      </c>
      <c r="K18" s="13"/>
    </row>
    <row r="19" spans="1:14">
      <c r="A19">
        <v>19</v>
      </c>
      <c r="B19" t="s">
        <v>111</v>
      </c>
      <c r="C19" t="s">
        <v>275</v>
      </c>
      <c r="D19">
        <v>1</v>
      </c>
      <c r="E19" s="12" t="s">
        <v>112</v>
      </c>
      <c r="G19" t="s">
        <v>115</v>
      </c>
      <c r="H19" t="s">
        <v>117</v>
      </c>
      <c r="I19">
        <v>201</v>
      </c>
      <c r="J19">
        <v>55</v>
      </c>
      <c r="K19" s="13" t="s">
        <v>276</v>
      </c>
    </row>
    <row r="20" spans="1:14">
      <c r="A20">
        <v>20</v>
      </c>
      <c r="B20" t="s">
        <v>277</v>
      </c>
      <c r="C20" t="s">
        <v>275</v>
      </c>
      <c r="D20">
        <v>5</v>
      </c>
      <c r="E20" s="12" t="s">
        <v>120</v>
      </c>
      <c r="G20" t="s">
        <v>122</v>
      </c>
      <c r="H20" t="s">
        <v>31</v>
      </c>
      <c r="I20">
        <v>201</v>
      </c>
      <c r="J20">
        <v>75</v>
      </c>
      <c r="K20" s="13" t="s">
        <v>269</v>
      </c>
    </row>
    <row r="21" spans="1:14">
      <c r="A21">
        <v>21</v>
      </c>
      <c r="B21" t="s">
        <v>125</v>
      </c>
      <c r="C21" t="s">
        <v>275</v>
      </c>
      <c r="D21">
        <v>1</v>
      </c>
      <c r="E21" s="12" t="s">
        <v>126</v>
      </c>
      <c r="G21" t="s">
        <v>128</v>
      </c>
      <c r="H21" t="s">
        <v>31</v>
      </c>
      <c r="I21">
        <v>201</v>
      </c>
      <c r="J21">
        <v>55</v>
      </c>
      <c r="K21" s="13" t="s">
        <v>259</v>
      </c>
    </row>
    <row r="22" spans="1:14">
      <c r="A22">
        <v>22</v>
      </c>
      <c r="B22" t="s">
        <v>130</v>
      </c>
      <c r="C22" t="s">
        <v>275</v>
      </c>
      <c r="D22">
        <v>1</v>
      </c>
      <c r="E22" s="12" t="s">
        <v>131</v>
      </c>
      <c r="G22" t="s">
        <v>133</v>
      </c>
      <c r="H22" t="s">
        <v>76</v>
      </c>
      <c r="I22">
        <v>201</v>
      </c>
      <c r="J22">
        <v>55</v>
      </c>
      <c r="K22" s="13" t="s">
        <v>278</v>
      </c>
    </row>
    <row r="23" spans="1:14">
      <c r="A23">
        <v>23</v>
      </c>
      <c r="B23" t="s">
        <v>135</v>
      </c>
      <c r="C23" t="s">
        <v>275</v>
      </c>
      <c r="D23">
        <v>1</v>
      </c>
      <c r="E23" s="12">
        <v>196</v>
      </c>
      <c r="G23" t="s">
        <v>138</v>
      </c>
      <c r="H23" t="s">
        <v>21</v>
      </c>
      <c r="I23">
        <v>201</v>
      </c>
      <c r="J23">
        <v>55</v>
      </c>
      <c r="K23" s="13" t="s">
        <v>259</v>
      </c>
    </row>
    <row r="24" spans="1:14">
      <c r="A24">
        <v>24</v>
      </c>
      <c r="B24" t="s">
        <v>140</v>
      </c>
      <c r="C24" t="s">
        <v>275</v>
      </c>
      <c r="D24">
        <v>2</v>
      </c>
      <c r="E24" s="12">
        <v>100</v>
      </c>
      <c r="G24" t="s">
        <v>143</v>
      </c>
      <c r="H24" t="s">
        <v>21</v>
      </c>
      <c r="I24">
        <v>201</v>
      </c>
      <c r="J24">
        <v>60</v>
      </c>
      <c r="K24" s="13" t="s">
        <v>259</v>
      </c>
    </row>
    <row r="25" spans="1:14">
      <c r="A25">
        <v>25</v>
      </c>
      <c r="B25" t="s">
        <v>145</v>
      </c>
      <c r="C25" t="s">
        <v>275</v>
      </c>
      <c r="D25">
        <v>1</v>
      </c>
      <c r="E25" s="12">
        <v>330</v>
      </c>
      <c r="G25" t="s">
        <v>147</v>
      </c>
      <c r="H25" t="s">
        <v>31</v>
      </c>
      <c r="I25">
        <v>201</v>
      </c>
      <c r="J25">
        <v>55</v>
      </c>
      <c r="K25" s="13" t="s">
        <v>259</v>
      </c>
    </row>
    <row r="26" spans="1:14">
      <c r="A26">
        <v>26</v>
      </c>
      <c r="B26" t="s">
        <v>149</v>
      </c>
      <c r="C26" t="s">
        <v>275</v>
      </c>
      <c r="D26">
        <v>1</v>
      </c>
      <c r="E26" s="12" t="s">
        <v>150</v>
      </c>
      <c r="G26" t="s">
        <v>151</v>
      </c>
      <c r="H26" t="s">
        <v>153</v>
      </c>
      <c r="I26">
        <v>201</v>
      </c>
      <c r="J26">
        <v>55</v>
      </c>
      <c r="K26" s="13" t="s">
        <v>259</v>
      </c>
    </row>
    <row r="27" spans="1:14">
      <c r="A27">
        <v>27</v>
      </c>
      <c r="B27" t="s">
        <v>154</v>
      </c>
      <c r="C27" t="s">
        <v>275</v>
      </c>
      <c r="D27">
        <v>1</v>
      </c>
      <c r="E27" s="12" t="s">
        <v>155</v>
      </c>
      <c r="G27" t="s">
        <v>156</v>
      </c>
      <c r="H27" t="s">
        <v>158</v>
      </c>
      <c r="I27">
        <v>201</v>
      </c>
      <c r="J27">
        <v>55</v>
      </c>
      <c r="K27" s="13" t="s">
        <v>279</v>
      </c>
    </row>
    <row r="28" spans="1:14">
      <c r="A28">
        <v>28</v>
      </c>
      <c r="B28" t="s">
        <v>159</v>
      </c>
      <c r="C28" t="s">
        <v>275</v>
      </c>
      <c r="D28">
        <v>1</v>
      </c>
      <c r="E28" s="12" t="s">
        <v>160</v>
      </c>
      <c r="G28" t="s">
        <v>162</v>
      </c>
      <c r="H28" t="s">
        <v>31</v>
      </c>
      <c r="I28">
        <v>201</v>
      </c>
      <c r="J28">
        <v>55</v>
      </c>
      <c r="K28" s="13" t="s">
        <v>259</v>
      </c>
    </row>
    <row r="29" spans="1:14">
      <c r="A29">
        <v>29</v>
      </c>
      <c r="B29" t="s">
        <v>164</v>
      </c>
      <c r="C29" t="s">
        <v>275</v>
      </c>
      <c r="D29">
        <v>1</v>
      </c>
      <c r="E29" s="12" t="s">
        <v>165</v>
      </c>
      <c r="G29" t="s">
        <v>167</v>
      </c>
      <c r="H29" t="s">
        <v>31</v>
      </c>
      <c r="I29">
        <v>201</v>
      </c>
      <c r="J29">
        <v>55</v>
      </c>
      <c r="K29" s="13" t="s">
        <v>279</v>
      </c>
    </row>
    <row r="30" spans="1:14">
      <c r="A30">
        <v>30</v>
      </c>
      <c r="B30" t="s">
        <v>182</v>
      </c>
      <c r="C30" t="s">
        <v>280</v>
      </c>
      <c r="D30">
        <v>2</v>
      </c>
      <c r="E30" s="12" t="s">
        <v>183</v>
      </c>
      <c r="F30" t="s">
        <v>185</v>
      </c>
      <c r="G30" t="s">
        <v>183</v>
      </c>
      <c r="H30" t="s">
        <v>186</v>
      </c>
      <c r="I30" t="s">
        <v>187</v>
      </c>
      <c r="J30">
        <v>11</v>
      </c>
      <c r="K30" s="13" t="s">
        <v>281</v>
      </c>
      <c r="L30">
        <v>1</v>
      </c>
      <c r="M30" s="14">
        <v>1.28</v>
      </c>
      <c r="N30">
        <f>M30*D30</f>
        <v>2.56</v>
      </c>
    </row>
    <row r="31" spans="1:14">
      <c r="A31">
        <v>31</v>
      </c>
      <c r="B31" t="s">
        <v>190</v>
      </c>
      <c r="C31" t="s">
        <v>192</v>
      </c>
      <c r="D31">
        <v>1</v>
      </c>
      <c r="E31" s="12" t="s">
        <v>282</v>
      </c>
      <c r="F31" s="15" t="s">
        <v>300</v>
      </c>
      <c r="K31" s="13" t="s">
        <v>302</v>
      </c>
      <c r="L31">
        <v>10</v>
      </c>
      <c r="M31">
        <v>10.31</v>
      </c>
      <c r="N31">
        <f t="shared" ref="N31:N44" si="0">M31*D31</f>
        <v>10.31</v>
      </c>
    </row>
    <row r="32" spans="1:14">
      <c r="A32">
        <v>32</v>
      </c>
      <c r="B32" t="s">
        <v>195</v>
      </c>
      <c r="C32" t="s">
        <v>314</v>
      </c>
      <c r="D32">
        <v>1</v>
      </c>
      <c r="E32" s="12" t="s">
        <v>312</v>
      </c>
      <c r="G32" t="s">
        <v>312</v>
      </c>
      <c r="H32" t="s">
        <v>313</v>
      </c>
      <c r="I32" t="s">
        <v>314</v>
      </c>
      <c r="K32" s="13" t="s">
        <v>315</v>
      </c>
      <c r="L32">
        <v>2</v>
      </c>
    </row>
    <row r="33" spans="1:14">
      <c r="A33">
        <v>33</v>
      </c>
      <c r="B33" t="s">
        <v>201</v>
      </c>
      <c r="C33" t="s">
        <v>283</v>
      </c>
      <c r="D33">
        <v>1</v>
      </c>
      <c r="E33" s="12" t="s">
        <v>202</v>
      </c>
      <c r="F33" t="s">
        <v>204</v>
      </c>
      <c r="G33" t="s">
        <v>202</v>
      </c>
      <c r="H33" t="s">
        <v>186</v>
      </c>
      <c r="I33" t="s">
        <v>187</v>
      </c>
      <c r="J33">
        <v>5</v>
      </c>
      <c r="K33" s="13" t="s">
        <v>284</v>
      </c>
      <c r="L33">
        <v>3</v>
      </c>
    </row>
    <row r="34" spans="1:14">
      <c r="A34">
        <v>34</v>
      </c>
      <c r="B34" t="s">
        <v>205</v>
      </c>
      <c r="C34" t="s">
        <v>285</v>
      </c>
      <c r="D34">
        <v>1</v>
      </c>
      <c r="E34" s="12" t="s">
        <v>286</v>
      </c>
      <c r="F34" t="s">
        <v>208</v>
      </c>
      <c r="K34" s="13" t="s">
        <v>299</v>
      </c>
      <c r="L34">
        <v>4</v>
      </c>
      <c r="M34">
        <v>3.99</v>
      </c>
      <c r="N34">
        <f t="shared" si="0"/>
        <v>3.99</v>
      </c>
    </row>
    <row r="35" spans="1:14">
      <c r="A35">
        <v>35</v>
      </c>
      <c r="B35" t="s">
        <v>210</v>
      </c>
      <c r="C35" t="s">
        <v>287</v>
      </c>
      <c r="D35">
        <v>1</v>
      </c>
      <c r="E35" s="12" t="s">
        <v>288</v>
      </c>
      <c r="F35" t="s">
        <v>213</v>
      </c>
      <c r="G35" t="s">
        <v>211</v>
      </c>
      <c r="H35" t="s">
        <v>215</v>
      </c>
      <c r="I35" t="s">
        <v>216</v>
      </c>
      <c r="J35">
        <v>5</v>
      </c>
      <c r="K35" s="13" t="s">
        <v>289</v>
      </c>
      <c r="L35">
        <v>2</v>
      </c>
      <c r="M35">
        <v>1.22</v>
      </c>
      <c r="N35">
        <f t="shared" si="0"/>
        <v>1.22</v>
      </c>
    </row>
    <row r="36" spans="1:14">
      <c r="A36">
        <v>36</v>
      </c>
      <c r="B36" t="s">
        <v>217</v>
      </c>
      <c r="C36" t="s">
        <v>290</v>
      </c>
      <c r="D36">
        <v>1</v>
      </c>
      <c r="E36" s="12" t="s">
        <v>218</v>
      </c>
      <c r="F36" t="s">
        <v>220</v>
      </c>
      <c r="G36" t="s">
        <v>218</v>
      </c>
      <c r="H36" t="s">
        <v>215</v>
      </c>
      <c r="I36" t="s">
        <v>222</v>
      </c>
      <c r="J36">
        <v>5</v>
      </c>
      <c r="K36" s="13" t="s">
        <v>291</v>
      </c>
      <c r="L36">
        <v>2</v>
      </c>
      <c r="M36">
        <v>1.19</v>
      </c>
      <c r="N36">
        <f t="shared" si="0"/>
        <v>1.19</v>
      </c>
    </row>
    <row r="37" spans="1:14">
      <c r="A37">
        <v>37</v>
      </c>
      <c r="B37" t="s">
        <v>224</v>
      </c>
      <c r="C37" t="s">
        <v>292</v>
      </c>
      <c r="D37">
        <v>2</v>
      </c>
      <c r="E37" s="12" t="s">
        <v>225</v>
      </c>
      <c r="F37" t="s">
        <v>227</v>
      </c>
      <c r="G37" t="s">
        <v>225</v>
      </c>
      <c r="H37" t="s">
        <v>228</v>
      </c>
      <c r="I37" t="s">
        <v>187</v>
      </c>
      <c r="J37">
        <v>12</v>
      </c>
      <c r="K37" s="13" t="s">
        <v>293</v>
      </c>
      <c r="L37">
        <v>1</v>
      </c>
      <c r="M37">
        <v>0.6</v>
      </c>
      <c r="N37">
        <f t="shared" si="0"/>
        <v>1.2</v>
      </c>
    </row>
    <row r="38" spans="1:14">
      <c r="A38">
        <v>38</v>
      </c>
      <c r="B38" t="s">
        <v>230</v>
      </c>
      <c r="C38" t="s">
        <v>232</v>
      </c>
      <c r="D38">
        <v>1</v>
      </c>
      <c r="E38" s="12" t="s">
        <v>231</v>
      </c>
      <c r="K38" s="13" t="s">
        <v>301</v>
      </c>
      <c r="M38">
        <v>392</v>
      </c>
      <c r="N38">
        <f t="shared" si="0"/>
        <v>392</v>
      </c>
    </row>
    <row r="39" spans="1:14">
      <c r="A39">
        <v>39</v>
      </c>
      <c r="B39" t="s">
        <v>233</v>
      </c>
      <c r="C39" t="s">
        <v>294</v>
      </c>
      <c r="D39">
        <v>1</v>
      </c>
      <c r="E39" s="12" t="s">
        <v>234</v>
      </c>
      <c r="F39" t="s">
        <v>236</v>
      </c>
      <c r="G39" t="s">
        <v>234</v>
      </c>
      <c r="H39" t="s">
        <v>215</v>
      </c>
      <c r="I39" t="s">
        <v>295</v>
      </c>
      <c r="J39">
        <v>5</v>
      </c>
      <c r="K39" s="13" t="s">
        <v>296</v>
      </c>
      <c r="L39">
        <v>8</v>
      </c>
      <c r="M39">
        <v>5.54</v>
      </c>
      <c r="N39">
        <f t="shared" si="0"/>
        <v>5.54</v>
      </c>
    </row>
    <row r="40" spans="1:14">
      <c r="A40">
        <v>40</v>
      </c>
      <c r="B40" t="s">
        <v>240</v>
      </c>
      <c r="C40" t="s">
        <v>297</v>
      </c>
      <c r="D40">
        <v>1</v>
      </c>
      <c r="E40" s="12" t="s">
        <v>241</v>
      </c>
      <c r="F40" t="s">
        <v>243</v>
      </c>
      <c r="G40" t="s">
        <v>241</v>
      </c>
      <c r="H40" t="s">
        <v>245</v>
      </c>
      <c r="I40" t="s">
        <v>246</v>
      </c>
      <c r="J40">
        <v>6</v>
      </c>
      <c r="K40" s="13" t="s">
        <v>298</v>
      </c>
      <c r="L40">
        <v>2</v>
      </c>
      <c r="M40">
        <v>1.39</v>
      </c>
      <c r="N40">
        <f t="shared" si="0"/>
        <v>1.39</v>
      </c>
    </row>
    <row r="42" spans="1:14">
      <c r="D42">
        <v>1</v>
      </c>
      <c r="F42" t="s">
        <v>304</v>
      </c>
      <c r="G42" s="16" t="s">
        <v>303</v>
      </c>
      <c r="K42" s="13" t="s">
        <v>305</v>
      </c>
      <c r="M42">
        <v>3.47</v>
      </c>
      <c r="N42">
        <f t="shared" si="0"/>
        <v>3.47</v>
      </c>
    </row>
    <row r="43" spans="1:14">
      <c r="D43">
        <v>1</v>
      </c>
      <c r="F43" t="s">
        <v>307</v>
      </c>
      <c r="G43" s="16" t="s">
        <v>306</v>
      </c>
      <c r="K43" s="13" t="s">
        <v>309</v>
      </c>
      <c r="M43">
        <v>18.399999999999999</v>
      </c>
      <c r="N43">
        <f t="shared" si="0"/>
        <v>18.399999999999999</v>
      </c>
    </row>
    <row r="44" spans="1:14">
      <c r="D44">
        <v>2</v>
      </c>
      <c r="F44" t="s">
        <v>308</v>
      </c>
      <c r="G44" t="s">
        <v>310</v>
      </c>
      <c r="K44" s="13" t="s">
        <v>311</v>
      </c>
      <c r="M44">
        <v>1.44</v>
      </c>
      <c r="N44">
        <f t="shared" si="0"/>
        <v>2.88</v>
      </c>
    </row>
    <row r="45" spans="1:14">
      <c r="K45" s="13">
        <f>SUM(K2:K44)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华秋商城BOM报价明细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hqchip</dc:title>
  <dc:subject>hqchip</dc:subject>
  <dc:creator>Yazan Dweiri</dc:creator>
  <cp:keywords>hqchip</cp:keywords>
  <dc:description>hqchip</dc:description>
  <cp:lastModifiedBy>Yazan Dweiri</cp:lastModifiedBy>
  <dcterms:created xsi:type="dcterms:W3CDTF">2022-11-04T17:19:27Z</dcterms:created>
  <dcterms:modified xsi:type="dcterms:W3CDTF">2026-10-09T09:29:04Z</dcterms:modified>
  <cp:category>hqchip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BC83DCF7CBE44513BB1D94EA68A43A43</vt:lpwstr>
  </property>
  <property fmtid="{D5CDD505-2E9C-101B-9397-08002B2CF9AE}" pid="3" name="KSOProductBuildVer">
    <vt:lpwstr>2052-11.1.0.12763</vt:lpwstr>
  </property>
</Properties>
</file>